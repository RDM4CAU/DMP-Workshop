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Documents\UB\"/>
    </mc:Choice>
  </mc:AlternateContent>
  <xr:revisionPtr revIDLastSave="0" documentId="13_ncr:1_{CB7349BE-1DD5-484D-BF54-A093DE444340}" xr6:coauthVersionLast="47" xr6:coauthVersionMax="47" xr10:uidLastSave="{00000000-0000-0000-0000-000000000000}"/>
  <bookViews>
    <workbookView xWindow="-120" yWindow="-120" windowWidth="26145" windowHeight="13575" xr2:uid="{00000000-000D-0000-FFFF-FFFF00000000}"/>
  </bookViews>
  <sheets>
    <sheet name="Lehrdrehbuch" sheetId="1" r:id="rId1"/>
  </sheets>
  <definedNames>
    <definedName name="_xlnm.Print_Area" localSheetId="0">Tabelle1[[#All],[Titel]:[Bis]]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N36" i="1"/>
  <c r="M36" i="1"/>
  <c r="D36" i="1"/>
</calcChain>
</file>

<file path=xl/sharedStrings.xml><?xml version="1.0" encoding="utf-8"?>
<sst xmlns="http://schemas.openxmlformats.org/spreadsheetml/2006/main" count="239" uniqueCount="90">
  <si>
    <t>Workshopdauer (in Minuten je Teil):</t>
  </si>
  <si>
    <t>Zeitplanung</t>
  </si>
  <si>
    <t>Eigenanteil zur nächsten Sitzung</t>
  </si>
  <si>
    <t>Datum</t>
  </si>
  <si>
    <t>Zeit</t>
  </si>
  <si>
    <t>Sitzung</t>
  </si>
  <si>
    <t>Teil</t>
  </si>
  <si>
    <t>Titel</t>
  </si>
  <si>
    <t>Thema</t>
  </si>
  <si>
    <t>Handlung/Notizen [Rollen]</t>
  </si>
  <si>
    <t>aktiv</t>
  </si>
  <si>
    <t>Art</t>
  </si>
  <si>
    <t>Wo</t>
  </si>
  <si>
    <t>Medium</t>
  </si>
  <si>
    <t>t</t>
  </si>
  <si>
    <t>Σ t</t>
  </si>
  <si>
    <t>Bis</t>
  </si>
  <si>
    <t>Vorbereitung nächste Sitzung</t>
  </si>
  <si>
    <t>Lesestoff</t>
  </si>
  <si>
    <t>Fragen</t>
  </si>
  <si>
    <t>Deadline</t>
  </si>
  <si>
    <t>zugehöriges E-Learning</t>
  </si>
  <si>
    <t>BP</t>
  </si>
  <si>
    <t>Frontal</t>
  </si>
  <si>
    <t>Plenum</t>
  </si>
  <si>
    <t>Name, background</t>
  </si>
  <si>
    <t>LZ</t>
  </si>
  <si>
    <t>Vortrag</t>
  </si>
  <si>
    <t>Statements 1-4 zu DMPs</t>
  </si>
  <si>
    <t>legal aspects</t>
  </si>
  <si>
    <t>Budget</t>
  </si>
  <si>
    <t>Fragerunde</t>
  </si>
  <si>
    <t>Gruppe</t>
  </si>
  <si>
    <t>Pause</t>
  </si>
  <si>
    <t>FAIR</t>
  </si>
  <si>
    <t>Einzel</t>
  </si>
  <si>
    <t>DMP Templates</t>
  </si>
  <si>
    <t>DMP-Tools</t>
  </si>
  <si>
    <t>BP: Erläuterung Aufgabe
LZ: Material verteilen
3 Gruppen, je ein Beispielauszug aus DMP, dann Vorstellung Ergebnisse je Gruppe in Plenum</t>
  </si>
  <si>
    <t>10. Min. Bearbeitungszeit (inkl. 1 Min. Rückholtimer)</t>
  </si>
  <si>
    <t>BR</t>
  </si>
  <si>
    <t>Do's and Don'ts</t>
  </si>
  <si>
    <t>DMP-Checklist</t>
  </si>
  <si>
    <t>CAU Services</t>
  </si>
  <si>
    <t>Überblick CAU Services</t>
  </si>
  <si>
    <t>BP, LZ</t>
  </si>
  <si>
    <t>WarmUp / Vorstellung</t>
  </si>
  <si>
    <t>Limitations</t>
  </si>
  <si>
    <t>2026-03-19 DMP Workshop CAU WissWB Präsenz</t>
  </si>
  <si>
    <t>Sitzungsplanung</t>
  </si>
  <si>
    <t>LiaScript</t>
  </si>
  <si>
    <t>Kurzer Hinweis: NFDI, FDM.SH</t>
  </si>
  <si>
    <t>LZ,BP</t>
  </si>
  <si>
    <t>Kurze Fragerunde</t>
  </si>
  <si>
    <t>Into action: RDMO ausprobieren, DMP anlegen, erste Fragen beantworten</t>
  </si>
  <si>
    <t>https://rdmo.forschungsdaten.info/</t>
  </si>
  <si>
    <t>DMP-Tool RDMO</t>
  </si>
  <si>
    <t>Wrap-up</t>
  </si>
  <si>
    <t>Überleitung zu RDMO-Übung</t>
  </si>
  <si>
    <t>Klassische Vorstellungsrunde
DataHorrors? Paarweise kurze Horrorstories erzählen lassen, zwei bis drei Geschichten im Plenum hören.</t>
  </si>
  <si>
    <t>Einstieg</t>
  </si>
  <si>
    <t>DMP Statements</t>
  </si>
  <si>
    <t>01 Was?</t>
  </si>
  <si>
    <t>Was ist ein DMP? Funktion &amp; Inhalt</t>
  </si>
  <si>
    <t>Wilkommen</t>
  </si>
  <si>
    <t>Über uns, Workshopregeln</t>
  </si>
  <si>
    <t>Orientatierung (Agenda)</t>
  </si>
  <si>
    <t>Lernziele</t>
  </si>
  <si>
    <t>Warum? Richtlinien und Anforderungen</t>
  </si>
  <si>
    <t>Guidelines</t>
  </si>
  <si>
    <t>03 Warum?</t>
  </si>
  <si>
    <t>04 Wie?</t>
  </si>
  <si>
    <t>Administrative Daten</t>
  </si>
  <si>
    <t>Datenbeschreibung</t>
  </si>
  <si>
    <t>Datendokumentation &amp; qualität</t>
  </si>
  <si>
    <t>Speicher &amp; Backup</t>
  </si>
  <si>
    <t>Publikation</t>
  </si>
  <si>
    <t>Gruppenarbeit: Einführung</t>
  </si>
  <si>
    <t>Gruppenarbeit: Arbeitsphase</t>
  </si>
  <si>
    <t>Gruppenarbeit: Ergebnisse</t>
  </si>
  <si>
    <t>Jeweils Beispiel via Päsentation zeigen 
Diskussion Ergebnisse je Gruppe (je max. 3 Min)</t>
  </si>
  <si>
    <t>Excercise Formulierungen im DMP</t>
  </si>
  <si>
    <t>Excercise DMP-Tool</t>
  </si>
  <si>
    <t xml:space="preserve">Kurze Zusammenfassung, was an den Beispielen gut oder schlecht war -&gt; das können jetzt alle versuchen besser zu machen. 
Häfte auf den Tisch - Klassenarbeit!  </t>
  </si>
  <si>
    <t>Evaluation</t>
  </si>
  <si>
    <t>EvasysLink</t>
  </si>
  <si>
    <t>Fragerunde / Feedback</t>
  </si>
  <si>
    <t>Verteilung des Links, Zeit zum Ausfüllen</t>
  </si>
  <si>
    <t>Kurze Abschluss-Fragerunde zum kompletten WS</t>
  </si>
  <si>
    <t>05 Wer? Netzwerke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</si>
</sst>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mm]:ss"/>
    <numFmt numFmtId="165" formatCode="dd/mm/yy;@"/>
    <numFmt numFmtId="166" formatCode="h:mm;@"/>
    <numFmt numFmtId="167" formatCode="0#"/>
    <numFmt numFmtId="168" formatCode="d/m/yy;@"/>
  </numFmts>
  <fonts count="7" x14ac:knownFonts="1">
    <font>
      <sz val="11"/>
      <color theme="1"/>
      <name val="Calibri"/>
      <scheme val="minor"/>
    </font>
    <font>
      <sz val="11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b/>
      <sz val="11"/>
      <color theme="5" tint="-0.249977111117893"/>
      <name val="Calibri"/>
      <scheme val="minor"/>
    </font>
    <font>
      <sz val="11"/>
      <name val="Calibri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Protection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164" fontId="1" fillId="3" borderId="0" xfId="0" applyNumberFormat="1" applyFont="1" applyFill="1" applyAlignment="1">
      <alignment horizontal="center"/>
    </xf>
    <xf numFmtId="0" fontId="2" fillId="3" borderId="0" xfId="0" applyFont="1" applyFill="1"/>
    <xf numFmtId="0" fontId="2" fillId="2" borderId="0" xfId="1" applyFont="1" applyFill="1"/>
    <xf numFmtId="0" fontId="0" fillId="0" borderId="1" xfId="0" applyBorder="1"/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3" xfId="0" applyBorder="1"/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center" vertical="top"/>
    </xf>
    <xf numFmtId="167" fontId="0" fillId="0" borderId="0" xfId="0" applyNumberFormat="1" applyAlignment="1">
      <alignment vertical="top"/>
    </xf>
    <xf numFmtId="167" fontId="4" fillId="0" borderId="0" xfId="0" applyNumberFormat="1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20" fontId="0" fillId="0" borderId="1" xfId="0" applyNumberFormat="1" applyBorder="1" applyAlignment="1">
      <alignment horizontal="center" vertical="top"/>
    </xf>
    <xf numFmtId="20" fontId="4" fillId="0" borderId="0" xfId="0" applyNumberFormat="1" applyFont="1" applyAlignment="1">
      <alignment horizontal="center" vertical="top"/>
    </xf>
    <xf numFmtId="20" fontId="4" fillId="0" borderId="2" xfId="0" applyNumberFormat="1" applyFont="1" applyBorder="1" applyAlignment="1">
      <alignment horizontal="center" vertical="top"/>
    </xf>
    <xf numFmtId="168" fontId="0" fillId="0" borderId="3" xfId="0" applyNumberForma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left" vertical="top" wrapText="1"/>
    </xf>
    <xf numFmtId="49" fontId="0" fillId="4" borderId="0" xfId="0" applyNumberFormat="1" applyFill="1" applyAlignment="1">
      <alignment horizontal="left" vertical="top" wrapText="1"/>
    </xf>
    <xf numFmtId="49" fontId="0" fillId="4" borderId="1" xfId="0" applyNumberFormat="1" applyFill="1" applyBorder="1" applyAlignment="1">
      <alignment horizontal="left" vertical="top" wrapText="1"/>
    </xf>
    <xf numFmtId="20" fontId="0" fillId="4" borderId="1" xfId="0" applyNumberFormat="1" applyFill="1" applyBorder="1" applyAlignment="1">
      <alignment horizontal="center" vertical="top"/>
    </xf>
    <xf numFmtId="20" fontId="4" fillId="4" borderId="0" xfId="0" applyNumberFormat="1" applyFont="1" applyFill="1" applyAlignment="1">
      <alignment horizontal="center" vertical="top"/>
    </xf>
    <xf numFmtId="20" fontId="4" fillId="4" borderId="2" xfId="0" applyNumberFormat="1" applyFont="1" applyFill="1" applyBorder="1" applyAlignment="1">
      <alignment horizontal="center" vertical="top"/>
    </xf>
    <xf numFmtId="167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20" fontId="5" fillId="0" borderId="1" xfId="0" applyNumberFormat="1" applyFont="1" applyBorder="1" applyAlignment="1">
      <alignment horizontal="center" vertical="top"/>
    </xf>
    <xf numFmtId="49" fontId="6" fillId="0" borderId="2" xfId="2" applyNumberFormat="1" applyBorder="1" applyAlignment="1">
      <alignment horizontal="left" vertical="top" wrapText="1"/>
    </xf>
    <xf numFmtId="20" fontId="0" fillId="0" borderId="1" xfId="0" applyNumberForma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2" fillId="2" borderId="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" xfId="1" applyFont="1" applyFill="1" applyBorder="1" applyAlignment="1">
      <alignment horizontal="center"/>
    </xf>
  </cellXfs>
  <cellStyles count="3">
    <cellStyle name="Akzent1" xfId="1" builtinId="29"/>
    <cellStyle name="Link" xfId="2" builtinId="8"/>
    <cellStyle name="Standard" xfId="0" builtinId="0"/>
  </cellStyles>
  <dxfs count="21">
    <dxf>
      <font>
        <b/>
        <i val="0"/>
        <color theme="0"/>
      </font>
      <fill>
        <patternFill patternType="solid">
          <fgColor indexed="2"/>
          <bgColor indexed="2"/>
        </patternFill>
      </fill>
    </dxf>
    <dxf>
      <font>
        <b/>
        <i val="0"/>
        <color theme="0"/>
      </font>
      <fill>
        <patternFill patternType="solid">
          <fgColor indexed="2"/>
          <bgColor indexed="2"/>
        </patternFill>
      </fill>
    </dxf>
    <dxf>
      <numFmt numFmtId="30" formatCode="@"/>
      <alignment horizontal="left" vertical="top" textRotation="0" wrapText="1" relativeIndent="0" shrinkToFit="0"/>
    </dxf>
    <dxf>
      <numFmt numFmtId="168" formatCode="d/m/yy;@"/>
      <alignment horizontal="left" vertical="top" textRotation="0" wrapText="0" relativeIndent="0" shrinkToFit="0"/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left" vertical="top" textRotation="0" wrapText="1" relativeIndent="0" shrinkToFit="0"/>
      <border>
        <left/>
        <right style="thin">
          <color auto="1"/>
        </right>
        <top/>
        <bottom/>
        <vertical/>
        <horizontal/>
      </border>
    </dxf>
    <dxf>
      <numFmt numFmtId="30" formatCode="@"/>
      <alignment horizontal="left" vertical="top" textRotation="0" wrapText="1" relativeIndent="0" shrinkToFit="0"/>
    </dxf>
    <dxf>
      <numFmt numFmtId="30" formatCode="@"/>
      <alignment horizontal="left" vertical="top" textRotation="0" wrapText="1" relativeIndent="0" shrinkToFit="0"/>
    </dxf>
    <dxf>
      <font>
        <b/>
        <strike val="0"/>
        <u val="none"/>
        <vertAlign val="baseline"/>
        <sz val="11"/>
        <color theme="5" tint="-0.249977111117893"/>
        <name val="Calibri"/>
        <scheme val="minor"/>
      </font>
      <numFmt numFmtId="25" formatCode="hh:mm"/>
      <fill>
        <patternFill patternType="none"/>
      </fill>
      <alignment horizontal="center" vertical="top" textRotation="0" wrapText="0" relativeIndent="0" shrinkToFit="0"/>
      <border>
        <left/>
        <right style="thin">
          <color auto="1"/>
        </right>
        <top/>
        <bottom/>
      </border>
    </dxf>
    <dxf>
      <font>
        <b/>
        <strike val="0"/>
        <u val="none"/>
        <vertAlign val="baseline"/>
        <sz val="11"/>
        <color theme="5" tint="-0.249977111117893"/>
        <name val="Calibri"/>
        <scheme val="minor"/>
      </font>
      <numFmt numFmtId="25" formatCode="hh:mm"/>
      <fill>
        <patternFill patternType="none"/>
      </fill>
      <alignment horizontal="center" vertical="top" textRotation="0" wrapText="0" relativeIndent="0" shrinkToFit="0"/>
    </dxf>
    <dxf>
      <numFmt numFmtId="25" formatCode="hh:mm"/>
      <alignment horizontal="center" vertical="top" textRotation="0" wrapText="0" relativeIndent="0" shrinkToFit="0"/>
      <border>
        <left style="thin">
          <color auto="1"/>
        </left>
        <right/>
        <top/>
        <bottom/>
      </border>
    </dxf>
    <dxf>
      <numFmt numFmtId="30" formatCode="@"/>
      <alignment horizontal="left" vertical="top" textRotation="0" wrapText="1" relativeIndent="0" shrinkToFit="0"/>
    </dxf>
    <dxf>
      <numFmt numFmtId="30" formatCode="@"/>
      <alignment horizontal="left" vertical="top" textRotation="0" wrapText="1" relativeIndent="0" shrinkToFit="0"/>
    </dxf>
    <dxf>
      <numFmt numFmtId="30" formatCode="@"/>
      <alignment horizontal="left" vertical="top" textRotation="0" wrapText="1" relativeIndent="0" shrinkToFit="0"/>
    </dxf>
    <dxf>
      <numFmt numFmtId="30" formatCode="@"/>
      <alignment horizontal="left" vertical="top" textRotation="0" wrapText="1" relativeIndent="0" shrinkToFit="0"/>
    </dxf>
    <dxf>
      <numFmt numFmtId="30" formatCode="@"/>
      <alignment horizontal="left" vertical="top" textRotation="0" wrapText="1" relativeIndent="0" shrinkToFit="0"/>
    </dxf>
    <dxf>
      <numFmt numFmtId="30" formatCode="@"/>
      <alignment horizontal="left" vertical="top" textRotation="0" wrapText="1" relativeIndent="0" shrinkToFit="0"/>
      <border>
        <left style="thin">
          <color auto="1"/>
        </left>
        <right/>
        <top/>
        <bottom/>
        <vertical/>
        <horizontal/>
      </border>
    </dxf>
    <dxf>
      <numFmt numFmtId="30" formatCode="@"/>
      <alignment horizontal="left" vertical="top" textRotation="0" wrapText="1" relativeIndent="0" shrinkToFit="0"/>
    </dxf>
    <dxf>
      <font>
        <b/>
        <strike val="0"/>
        <u val="none"/>
        <vertAlign val="baseline"/>
        <sz val="11"/>
        <color theme="5" tint="-0.249977111117893"/>
        <name val="Calibri"/>
        <scheme val="minor"/>
      </font>
      <numFmt numFmtId="167" formatCode="0#"/>
      <fill>
        <patternFill patternType="none"/>
      </fill>
      <alignment vertical="top" textRotation="0" wrapText="0" relativeIndent="0" shrinkToFit="0"/>
    </dxf>
    <dxf>
      <numFmt numFmtId="167" formatCode="0#"/>
      <alignment vertical="top" textRotation="0" wrapText="0" relativeIndent="0" shrinkToFit="0"/>
    </dxf>
    <dxf>
      <numFmt numFmtId="166" formatCode="h:mm;@"/>
      <alignment horizontal="center" vertical="top" textRotation="0" wrapText="0" relativeIndent="0" shrinkToFit="0"/>
    </dxf>
    <dxf>
      <numFmt numFmtId="165" formatCode="dd/mm/yy;@"/>
      <alignment horizontal="left" vertical="top" textRotation="0" wrapText="0" relative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S37">
  <autoFilter ref="A3:S37" xr:uid="{00000000-0009-0000-0100-000001000000}"/>
  <tableColumns count="19">
    <tableColumn id="1" xr3:uid="{00000000-0010-0000-0000-000001000000}" name="Datum" dataDxfId="20"/>
    <tableColumn id="2" xr3:uid="{00000000-0010-0000-0000-000002000000}" name="Zeit" dataDxfId="19"/>
    <tableColumn id="3" xr3:uid="{00000000-0010-0000-0000-000003000000}" name="Sitzung" dataDxfId="18"/>
    <tableColumn id="4" xr3:uid="{00000000-0010-0000-0000-000004000000}" name="Teil" dataDxfId="17"/>
    <tableColumn id="5" xr3:uid="{00000000-0010-0000-0000-000005000000}" name="Titel" dataDxfId="16"/>
    <tableColumn id="6" xr3:uid="{00000000-0010-0000-0000-000006000000}" name="Thema" dataDxfId="15"/>
    <tableColumn id="7" xr3:uid="{00000000-0010-0000-0000-000007000000}" name="Handlung/Notizen [Rollen]" dataDxfId="14"/>
    <tableColumn id="8" xr3:uid="{00000000-0010-0000-0000-000008000000}" name="aktiv" dataDxfId="13"/>
    <tableColumn id="9" xr3:uid="{00000000-0010-0000-0000-000009000000}" name="Art" dataDxfId="12"/>
    <tableColumn id="10" xr3:uid="{00000000-0010-0000-0000-00000A000000}" name="Wo" dataDxfId="11"/>
    <tableColumn id="11" xr3:uid="{00000000-0010-0000-0000-00000B000000}" name="Medium" dataDxfId="10"/>
    <tableColumn id="12" xr3:uid="{00000000-0010-0000-0000-00000C000000}" name="t" dataDxfId="9"/>
    <tableColumn id="13" xr3:uid="{00000000-0010-0000-0000-00000D000000}" name="Σ t" dataDxfId="8"/>
    <tableColumn id="14" xr3:uid="{00000000-0010-0000-0000-00000E000000}" name="Bis" dataDxfId="7"/>
    <tableColumn id="15" xr3:uid="{00000000-0010-0000-0000-00000F000000}" name="Vorbereitung nächste Sitzung" dataDxfId="6"/>
    <tableColumn id="16" xr3:uid="{00000000-0010-0000-0000-000010000000}" name="Lesestoff" dataDxfId="5"/>
    <tableColumn id="17" xr3:uid="{00000000-0010-0000-0000-000011000000}" name="Fragen" dataDxfId="4"/>
    <tableColumn id="18" xr3:uid="{00000000-0010-0000-0000-000012000000}" name="Deadline" dataDxfId="3"/>
    <tableColumn id="19" xr3:uid="{00000000-0010-0000-0000-000013000000}" name="zugehöriges E-Learn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dmo.forschungsdaten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abSelected="1" zoomScaleNormal="100" workbookViewId="0">
      <pane ySplit="3" topLeftCell="A9" activePane="bottomLeft" state="frozen"/>
      <selection activeCell="L40" sqref="L40"/>
      <selection pane="bottomLeft" activeCell="A22" sqref="A22:XFD22"/>
    </sheetView>
  </sheetViews>
  <sheetFormatPr baseColWidth="10" defaultColWidth="8.85546875" defaultRowHeight="15" x14ac:dyDescent="0.25"/>
  <cols>
    <col min="1" max="1" width="8.28515625" customWidth="1"/>
    <col min="2" max="2" width="5.28515625" customWidth="1"/>
    <col min="3" max="3" width="9.28515625" bestFit="1" customWidth="1"/>
    <col min="4" max="4" width="5.42578125" customWidth="1"/>
    <col min="5" max="5" width="15.28515625" customWidth="1"/>
    <col min="6" max="6" width="26.28515625" bestFit="1" customWidth="1"/>
    <col min="7" max="7" width="41.42578125" customWidth="1"/>
    <col min="8" max="8" width="10.28515625" bestFit="1" customWidth="1"/>
    <col min="9" max="9" width="8.28515625" bestFit="1" customWidth="1"/>
    <col min="10" max="10" width="8.5703125" bestFit="1" customWidth="1"/>
    <col min="11" max="11" width="13.5703125" bestFit="1" customWidth="1"/>
    <col min="12" max="12" width="9.5703125" bestFit="1" customWidth="1"/>
    <col min="13" max="13" width="8.28515625" bestFit="1" customWidth="1"/>
    <col min="14" max="14" width="8.5703125" bestFit="1" customWidth="1"/>
    <col min="15" max="15" width="39.140625" customWidth="1"/>
    <col min="16" max="16" width="15.7109375" customWidth="1"/>
    <col min="17" max="17" width="13" customWidth="1"/>
    <col min="18" max="18" width="15" customWidth="1"/>
    <col min="19" max="19" width="32.42578125" customWidth="1"/>
  </cols>
  <sheetData>
    <row r="1" spans="1:19" x14ac:dyDescent="0.25">
      <c r="A1" s="36" t="s">
        <v>48</v>
      </c>
      <c r="B1" s="36"/>
      <c r="C1" s="36"/>
      <c r="D1" s="36"/>
      <c r="E1" s="36"/>
      <c r="F1" s="36"/>
      <c r="G1" s="36"/>
      <c r="H1" s="37" t="s">
        <v>0</v>
      </c>
      <c r="I1" s="37"/>
      <c r="J1" s="37"/>
      <c r="K1" s="37"/>
      <c r="L1" s="1">
        <v>0.125</v>
      </c>
      <c r="M1" s="2"/>
      <c r="N1" s="2"/>
      <c r="O1" s="2"/>
      <c r="P1" s="2"/>
      <c r="Q1" s="2"/>
      <c r="R1" s="2"/>
      <c r="S1" s="2"/>
    </row>
    <row r="2" spans="1:19" x14ac:dyDescent="0.25">
      <c r="A2" s="3"/>
      <c r="B2" s="3"/>
      <c r="C2" s="3"/>
      <c r="D2" s="3"/>
      <c r="E2" s="3"/>
      <c r="F2" s="38" t="s">
        <v>49</v>
      </c>
      <c r="G2" s="39"/>
      <c r="H2" s="39"/>
      <c r="I2" s="39"/>
      <c r="J2" s="39"/>
      <c r="K2" s="39"/>
      <c r="L2" s="38" t="s">
        <v>1</v>
      </c>
      <c r="M2" s="39"/>
      <c r="N2" s="40"/>
      <c r="O2" s="38" t="s">
        <v>2</v>
      </c>
      <c r="P2" s="39"/>
      <c r="Q2" s="39"/>
      <c r="R2" s="40"/>
      <c r="S2" s="3"/>
    </row>
    <row r="3" spans="1:1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s="4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6" t="s">
        <v>13</v>
      </c>
      <c r="L3" s="7" t="s">
        <v>14</v>
      </c>
      <c r="M3" s="8" t="s">
        <v>15</v>
      </c>
      <c r="N3" s="9" t="s">
        <v>16</v>
      </c>
      <c r="O3" s="4" t="s">
        <v>17</v>
      </c>
      <c r="P3" s="5" t="s">
        <v>18</v>
      </c>
      <c r="Q3" s="5" t="s">
        <v>19</v>
      </c>
      <c r="R3" s="10" t="s">
        <v>20</v>
      </c>
      <c r="S3" t="s">
        <v>21</v>
      </c>
    </row>
    <row r="4" spans="1:19" x14ac:dyDescent="0.25">
      <c r="A4" s="11">
        <v>46100</v>
      </c>
      <c r="B4" s="12">
        <v>0.375</v>
      </c>
      <c r="C4" s="13">
        <v>1</v>
      </c>
      <c r="D4" s="14">
        <v>1</v>
      </c>
      <c r="E4" s="15" t="s">
        <v>60</v>
      </c>
      <c r="F4" s="16" t="s">
        <v>64</v>
      </c>
      <c r="G4" s="15"/>
      <c r="H4" s="15" t="s">
        <v>22</v>
      </c>
      <c r="I4" s="15" t="s">
        <v>23</v>
      </c>
      <c r="J4" s="15" t="s">
        <v>24</v>
      </c>
      <c r="K4" s="17"/>
      <c r="L4" s="18">
        <v>2.0833333333333333E-3</v>
      </c>
      <c r="M4" s="19">
        <f>Tabelle1[[#This Row],[t]]</f>
        <v>2.0833333333333333E-3</v>
      </c>
      <c r="N4" s="20">
        <f>Tabelle1[[#This Row],[t]]+Tabelle1[[#This Row],[Zeit]]</f>
        <v>0.37708333333333333</v>
      </c>
      <c r="O4" s="16"/>
      <c r="P4" s="15"/>
      <c r="Q4" s="15"/>
      <c r="R4" s="21"/>
      <c r="S4" s="15"/>
    </row>
    <row r="5" spans="1:19" x14ac:dyDescent="0.25">
      <c r="A5" s="22"/>
      <c r="B5" s="23"/>
      <c r="C5" s="13">
        <v>1</v>
      </c>
      <c r="D5" s="14">
        <f>IF(Tabelle1[[#This Row],[Sitzung]]=(INDEX(Tabelle1[Sitzung],ROW(Tabelle1[[#This Row],[Sitzung]])-1-ROW(Tabelle1[[#Headers],[Sitzung]]))),(INDEX(Tabelle1[Teil],ROW(Tabelle1[[#This Row],[Teil]])-1-ROW(Tabelle1[[#Headers],[Teil]])))+1,1)</f>
        <v>2</v>
      </c>
      <c r="E5" s="24" t="s">
        <v>60</v>
      </c>
      <c r="F5" s="16" t="s">
        <v>65</v>
      </c>
      <c r="G5" s="15" t="s">
        <v>25</v>
      </c>
      <c r="H5" s="15" t="s">
        <v>45</v>
      </c>
      <c r="I5" s="15" t="s">
        <v>23</v>
      </c>
      <c r="J5" s="15" t="s">
        <v>24</v>
      </c>
      <c r="K5" s="17" t="s">
        <v>50</v>
      </c>
      <c r="L5" s="18">
        <v>2.0833333333333333E-3</v>
      </c>
      <c r="M5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4.1666666666666666E-3</v>
      </c>
      <c r="N5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0.37916666666666665</v>
      </c>
      <c r="O5" s="16"/>
      <c r="P5" s="15"/>
      <c r="Q5" s="15"/>
      <c r="R5" s="21"/>
      <c r="S5" s="15"/>
    </row>
    <row r="6" spans="1:19" ht="75" x14ac:dyDescent="0.25">
      <c r="A6" s="22"/>
      <c r="B6" s="23"/>
      <c r="C6" s="13">
        <v>1</v>
      </c>
      <c r="D6" s="14">
        <f>IF(Tabelle1[[#This Row],[Sitzung]]=(INDEX(Tabelle1[Sitzung],ROW(Tabelle1[[#This Row],[Sitzung]])-1-ROW(Tabelle1[[#Headers],[Sitzung]]))),(INDEX(Tabelle1[Teil],ROW(Tabelle1[[#This Row],[Teil]])-1-ROW(Tabelle1[[#Headers],[Teil]])))+1,1)</f>
        <v>3</v>
      </c>
      <c r="E6" s="24" t="s">
        <v>60</v>
      </c>
      <c r="F6" s="16" t="s">
        <v>46</v>
      </c>
      <c r="G6" s="24" t="s">
        <v>59</v>
      </c>
      <c r="H6" s="15" t="s">
        <v>26</v>
      </c>
      <c r="I6" s="15" t="s">
        <v>23</v>
      </c>
      <c r="J6" s="15" t="s">
        <v>24</v>
      </c>
      <c r="K6" s="17"/>
      <c r="L6" s="18">
        <v>5.5555555555555558E-3</v>
      </c>
      <c r="M6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9.7222222222222224E-3</v>
      </c>
      <c r="N6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0.38472222222222219</v>
      </c>
      <c r="O6" s="16"/>
      <c r="P6" s="15"/>
      <c r="Q6" s="17"/>
      <c r="R6" s="21"/>
      <c r="S6" s="15"/>
    </row>
    <row r="7" spans="1:19" x14ac:dyDescent="0.25">
      <c r="A7" s="22"/>
      <c r="B7" s="23"/>
      <c r="C7" s="13">
        <v>1</v>
      </c>
      <c r="D7" s="14">
        <f>IF(Tabelle1[[#This Row],[Sitzung]]=(INDEX(Tabelle1[Sitzung],ROW(Tabelle1[[#This Row],[Sitzung]])-1-ROW(Tabelle1[[#Headers],[Sitzung]]))),(INDEX(Tabelle1[Teil],ROW(Tabelle1[[#This Row],[Teil]])-1-ROW(Tabelle1[[#Headers],[Teil]])))+1,1)</f>
        <v>4</v>
      </c>
      <c r="E7" s="24" t="s">
        <v>60</v>
      </c>
      <c r="F7" s="16" t="s">
        <v>66</v>
      </c>
      <c r="G7" s="15" t="s">
        <v>27</v>
      </c>
      <c r="H7" s="15" t="s">
        <v>26</v>
      </c>
      <c r="I7" s="15" t="s">
        <v>23</v>
      </c>
      <c r="J7" s="15" t="s">
        <v>24</v>
      </c>
      <c r="K7" s="17" t="s">
        <v>50</v>
      </c>
      <c r="L7" s="18">
        <v>1.3888888888888889E-3</v>
      </c>
      <c r="M7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1.1111111111111112E-2</v>
      </c>
      <c r="N7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0.38611111111111107</v>
      </c>
      <c r="O7" s="16"/>
      <c r="P7" s="15"/>
      <c r="Q7" s="15"/>
      <c r="R7" s="21"/>
      <c r="S7" s="15"/>
    </row>
    <row r="8" spans="1:19" x14ac:dyDescent="0.25">
      <c r="A8" s="22"/>
      <c r="B8" s="23"/>
      <c r="C8" s="13">
        <v>1</v>
      </c>
      <c r="D8" s="14">
        <f>IF(Tabelle1[[#This Row],[Sitzung]]=(INDEX(Tabelle1[Sitzung],ROW(Tabelle1[[#This Row],[Sitzung]])-1-ROW(Tabelle1[[#Headers],[Sitzung]]))),(INDEX(Tabelle1[Teil],ROW(Tabelle1[[#This Row],[Teil]])-1-ROW(Tabelle1[[#Headers],[Teil]])))+1,1)</f>
        <v>5</v>
      </c>
      <c r="E8" s="24" t="s">
        <v>60</v>
      </c>
      <c r="F8" s="16" t="s">
        <v>47</v>
      </c>
      <c r="G8" s="15" t="s">
        <v>27</v>
      </c>
      <c r="H8" s="15" t="s">
        <v>26</v>
      </c>
      <c r="I8" s="15" t="s">
        <v>23</v>
      </c>
      <c r="J8" s="15" t="s">
        <v>24</v>
      </c>
      <c r="K8" s="17" t="s">
        <v>50</v>
      </c>
      <c r="L8" s="18">
        <v>1.3888888888888889E-3</v>
      </c>
      <c r="M8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1.2500000000000001E-2</v>
      </c>
      <c r="N8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0.38749999999999996</v>
      </c>
      <c r="O8" s="16"/>
      <c r="P8" s="15"/>
      <c r="Q8" s="15"/>
      <c r="R8" s="21"/>
      <c r="S8" s="15"/>
    </row>
    <row r="9" spans="1:19" x14ac:dyDescent="0.25">
      <c r="A9" s="22"/>
      <c r="B9" s="23"/>
      <c r="C9" s="13">
        <v>1</v>
      </c>
      <c r="D9" s="14">
        <f>IF(Tabelle1[[#This Row],[Sitzung]]=(INDEX(Tabelle1[Sitzung],ROW(Tabelle1[[#This Row],[Sitzung]])-1-ROW(Tabelle1[[#Headers],[Sitzung]]))),(INDEX(Tabelle1[Teil],ROW(Tabelle1[[#This Row],[Teil]])-1-ROW(Tabelle1[[#Headers],[Teil]])))+1,1)</f>
        <v>6</v>
      </c>
      <c r="E9" s="24" t="s">
        <v>60</v>
      </c>
      <c r="F9" s="16" t="s">
        <v>67</v>
      </c>
      <c r="G9" s="15" t="s">
        <v>27</v>
      </c>
      <c r="H9" s="15" t="s">
        <v>26</v>
      </c>
      <c r="I9" s="15" t="s">
        <v>23</v>
      </c>
      <c r="J9" s="15" t="s">
        <v>24</v>
      </c>
      <c r="K9" s="17" t="s">
        <v>50</v>
      </c>
      <c r="L9" s="18">
        <v>1.3888888888888889E-3</v>
      </c>
      <c r="M9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1.388888888888889E-2</v>
      </c>
      <c r="N9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0.38888888888888884</v>
      </c>
      <c r="O9" s="16"/>
      <c r="P9" s="15"/>
      <c r="Q9" s="15"/>
      <c r="R9" s="21"/>
      <c r="S9" s="15"/>
    </row>
    <row r="10" spans="1:19" ht="30" x14ac:dyDescent="0.25">
      <c r="A10" s="22"/>
      <c r="B10" s="23"/>
      <c r="C10" s="13">
        <v>1</v>
      </c>
      <c r="D10" s="14">
        <f>IF(Tabelle1[[#This Row],[Sitzung]]=(INDEX(Tabelle1[Sitzung],ROW(Tabelle1[[#This Row],[Sitzung]])-1-ROW(Tabelle1[[#Headers],[Sitzung]]))),(INDEX(Tabelle1[Teil],ROW(Tabelle1[[#This Row],[Teil]])-1-ROW(Tabelle1[[#Headers],[Teil]])))+1,1)</f>
        <v>7</v>
      </c>
      <c r="E10" s="15" t="s">
        <v>61</v>
      </c>
      <c r="F10" s="16" t="s">
        <v>28</v>
      </c>
      <c r="G10" s="15" t="s">
        <v>27</v>
      </c>
      <c r="H10" s="15" t="s">
        <v>22</v>
      </c>
      <c r="I10" s="15" t="s">
        <v>23</v>
      </c>
      <c r="J10" s="15" t="s">
        <v>24</v>
      </c>
      <c r="K10" s="17" t="s">
        <v>50</v>
      </c>
      <c r="L10" s="18">
        <v>5.5555555555555558E-3</v>
      </c>
      <c r="M10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1.9444444444444445E-2</v>
      </c>
      <c r="N10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0.39444444444444438</v>
      </c>
      <c r="O10" s="16"/>
      <c r="P10" s="15"/>
      <c r="Q10" s="15"/>
      <c r="R10" s="21"/>
      <c r="S10" s="15"/>
    </row>
    <row r="11" spans="1:19" ht="30" x14ac:dyDescent="0.25">
      <c r="A11" s="22"/>
      <c r="B11" s="23"/>
      <c r="C11" s="13">
        <v>1</v>
      </c>
      <c r="D11" s="14">
        <f>IF(Tabelle1[[#This Row],[Sitzung]]=(INDEX(Tabelle1[Sitzung],ROW(Tabelle1[[#This Row],[Sitzung]])-1-ROW(Tabelle1[[#Headers],[Sitzung]]))),(INDEX(Tabelle1[Teil],ROW(Tabelle1[[#This Row],[Teil]])-1-ROW(Tabelle1[[#Headers],[Teil]])))+1,1)</f>
        <v>8</v>
      </c>
      <c r="E11" s="15" t="s">
        <v>62</v>
      </c>
      <c r="F11" s="16" t="s">
        <v>63</v>
      </c>
      <c r="G11" s="15" t="s">
        <v>27</v>
      </c>
      <c r="H11" s="15" t="s">
        <v>26</v>
      </c>
      <c r="I11" s="15" t="s">
        <v>23</v>
      </c>
      <c r="J11" s="15" t="s">
        <v>24</v>
      </c>
      <c r="K11" s="17" t="s">
        <v>50</v>
      </c>
      <c r="L11" s="18">
        <v>2.0833333333333333E-3</v>
      </c>
      <c r="M11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2.1527777777777778E-2</v>
      </c>
      <c r="N11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0.3965277777777777</v>
      </c>
      <c r="O11" s="16"/>
      <c r="P11" s="15"/>
      <c r="Q11" s="15"/>
      <c r="R11" s="21"/>
      <c r="S11" s="15"/>
    </row>
    <row r="12" spans="1:19" x14ac:dyDescent="0.25">
      <c r="A12" s="22"/>
      <c r="B12" s="23"/>
      <c r="C12" s="13">
        <v>1</v>
      </c>
      <c r="D12" s="14">
        <f>IF(Tabelle1[[#This Row],[Sitzung]]=(INDEX(Tabelle1[Sitzung],ROW(Tabelle1[[#This Row],[Sitzung]])-1-ROW(Tabelle1[[#Headers],[Sitzung]]))),(INDEX(Tabelle1[Teil],ROW(Tabelle1[[#This Row],[Teil]])-1-ROW(Tabelle1[[#Headers],[Teil]])))+1,1)</f>
        <v>9</v>
      </c>
      <c r="E12" s="24" t="s">
        <v>62</v>
      </c>
      <c r="F12" s="24" t="s">
        <v>72</v>
      </c>
      <c r="G12" s="15" t="s">
        <v>27</v>
      </c>
      <c r="H12" s="15" t="s">
        <v>26</v>
      </c>
      <c r="I12" s="15" t="s">
        <v>23</v>
      </c>
      <c r="J12" s="15" t="s">
        <v>24</v>
      </c>
      <c r="K12" s="17" t="s">
        <v>50</v>
      </c>
      <c r="L12" s="35">
        <v>2.0833333333333333E-3</v>
      </c>
      <c r="M12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2.361111111111111E-2</v>
      </c>
      <c r="N12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0.39861111111111103</v>
      </c>
      <c r="O12" s="16"/>
      <c r="P12" s="15"/>
      <c r="Q12" s="17"/>
      <c r="R12" s="21"/>
      <c r="S12" s="15"/>
    </row>
    <row r="13" spans="1:19" x14ac:dyDescent="0.25">
      <c r="A13" s="22"/>
      <c r="B13" s="23"/>
      <c r="C13" s="13">
        <v>1</v>
      </c>
      <c r="D13" s="14">
        <f>IF(Tabelle1[[#This Row],[Sitzung]]=(INDEX(Tabelle1[Sitzung],ROW(Tabelle1[[#This Row],[Sitzung]])-1-ROW(Tabelle1[[#Headers],[Sitzung]]))),(INDEX(Tabelle1[Teil],ROW(Tabelle1[[#This Row],[Teil]])-1-ROW(Tabelle1[[#Headers],[Teil]])))+1,1)</f>
        <v>10</v>
      </c>
      <c r="E13" s="24" t="s">
        <v>62</v>
      </c>
      <c r="F13" s="16" t="s">
        <v>73</v>
      </c>
      <c r="G13" s="15" t="s">
        <v>27</v>
      </c>
      <c r="H13" s="15" t="s">
        <v>26</v>
      </c>
      <c r="I13" s="15" t="s">
        <v>23</v>
      </c>
      <c r="J13" s="15" t="s">
        <v>24</v>
      </c>
      <c r="K13" s="17" t="s">
        <v>50</v>
      </c>
      <c r="L13" s="35">
        <v>2.0833333333333333E-3</v>
      </c>
      <c r="M13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2.5694444444444443E-2</v>
      </c>
      <c r="N13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0.40069444444444435</v>
      </c>
      <c r="O13" s="16"/>
      <c r="P13" s="15"/>
      <c r="Q13" s="15"/>
      <c r="R13" s="21"/>
      <c r="S13" s="15"/>
    </row>
    <row r="14" spans="1:19" ht="30" x14ac:dyDescent="0.25">
      <c r="A14" s="22"/>
      <c r="B14" s="23"/>
      <c r="C14" s="13">
        <v>1</v>
      </c>
      <c r="D14" s="14">
        <f>IF(Tabelle1[[#This Row],[Sitzung]]=(INDEX(Tabelle1[Sitzung],ROW(Tabelle1[[#This Row],[Sitzung]])-1-ROW(Tabelle1[[#Headers],[Sitzung]]))),(INDEX(Tabelle1[Teil],ROW(Tabelle1[[#This Row],[Teil]])-1-ROW(Tabelle1[[#Headers],[Teil]])))+1,1)</f>
        <v>11</v>
      </c>
      <c r="E14" s="24" t="s">
        <v>62</v>
      </c>
      <c r="F14" s="16" t="s">
        <v>74</v>
      </c>
      <c r="G14" s="15" t="s">
        <v>27</v>
      </c>
      <c r="H14" s="15" t="s">
        <v>26</v>
      </c>
      <c r="I14" s="15" t="s">
        <v>23</v>
      </c>
      <c r="J14" s="15" t="s">
        <v>24</v>
      </c>
      <c r="K14" s="17" t="s">
        <v>50</v>
      </c>
      <c r="L14" s="35">
        <v>1.3888888888888889E-3</v>
      </c>
      <c r="M14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2.7083333333333331E-2</v>
      </c>
      <c r="N14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0.40208333333333324</v>
      </c>
      <c r="O14" s="15"/>
      <c r="P14" s="15"/>
      <c r="Q14" s="17"/>
      <c r="R14" s="21"/>
      <c r="S14" s="15"/>
    </row>
    <row r="15" spans="1:19" x14ac:dyDescent="0.25">
      <c r="A15" s="22"/>
      <c r="B15" s="23"/>
      <c r="C15" s="13">
        <v>1</v>
      </c>
      <c r="D15" s="14">
        <f>IF(Tabelle1[[#This Row],[Sitzung]]=(INDEX(Tabelle1[Sitzung],ROW(Tabelle1[[#This Row],[Sitzung]])-1-ROW(Tabelle1[[#Headers],[Sitzung]]))),(INDEX(Tabelle1[Teil],ROW(Tabelle1[[#This Row],[Teil]])-1-ROW(Tabelle1[[#Headers],[Teil]])))+1,1)</f>
        <v>12</v>
      </c>
      <c r="E15" s="24" t="s">
        <v>62</v>
      </c>
      <c r="F15" s="16" t="s">
        <v>75</v>
      </c>
      <c r="G15" s="15" t="s">
        <v>27</v>
      </c>
      <c r="H15" s="15" t="s">
        <v>26</v>
      </c>
      <c r="I15" s="15" t="s">
        <v>23</v>
      </c>
      <c r="J15" s="15" t="s">
        <v>24</v>
      </c>
      <c r="K15" s="17" t="s">
        <v>50</v>
      </c>
      <c r="L15" s="35">
        <v>1.3888888888888889E-3</v>
      </c>
      <c r="M15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2.8472222222222218E-2</v>
      </c>
      <c r="N15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0.40347222222222212</v>
      </c>
      <c r="O15" s="15"/>
      <c r="P15" s="15"/>
      <c r="Q15" s="17"/>
      <c r="R15" s="21"/>
      <c r="S15" s="15"/>
    </row>
    <row r="16" spans="1:19" x14ac:dyDescent="0.25">
      <c r="A16" s="22"/>
      <c r="B16" s="23"/>
      <c r="C16" s="13">
        <v>1</v>
      </c>
      <c r="D16" s="14">
        <f>IF(Tabelle1[[#This Row],[Sitzung]]=(INDEX(Tabelle1[Sitzung],ROW(Tabelle1[[#This Row],[Sitzung]])-1-ROW(Tabelle1[[#Headers],[Sitzung]]))),(INDEX(Tabelle1[Teil],ROW(Tabelle1[[#This Row],[Teil]])-1-ROW(Tabelle1[[#Headers],[Teil]])))+1,1)</f>
        <v>13</v>
      </c>
      <c r="E16" s="24" t="s">
        <v>62</v>
      </c>
      <c r="F16" s="16" t="s">
        <v>29</v>
      </c>
      <c r="G16" s="15" t="s">
        <v>27</v>
      </c>
      <c r="H16" s="15" t="s">
        <v>26</v>
      </c>
      <c r="I16" s="15" t="s">
        <v>23</v>
      </c>
      <c r="J16" s="15" t="s">
        <v>24</v>
      </c>
      <c r="K16" s="17" t="s">
        <v>50</v>
      </c>
      <c r="L16" s="35">
        <v>1.3888888888888889E-3</v>
      </c>
      <c r="M16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2.9861111111111106E-2</v>
      </c>
      <c r="N16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0.40486111111111101</v>
      </c>
      <c r="O16" s="15"/>
      <c r="P16" s="15"/>
      <c r="Q16" s="17"/>
      <c r="R16" s="21"/>
      <c r="S16" s="15"/>
    </row>
    <row r="17" spans="1:19" x14ac:dyDescent="0.25">
      <c r="A17" s="22"/>
      <c r="B17" s="23"/>
      <c r="C17" s="13">
        <v>1</v>
      </c>
      <c r="D17" s="14">
        <f>IF(Tabelle1[[#This Row],[Sitzung]]=(INDEX(Tabelle1[Sitzung],ROW(Tabelle1[[#This Row],[Sitzung]])-1-ROW(Tabelle1[[#Headers],[Sitzung]]))),(INDEX(Tabelle1[Teil],ROW(Tabelle1[[#This Row],[Teil]])-1-ROW(Tabelle1[[#Headers],[Teil]])))+1,1)</f>
        <v>14</v>
      </c>
      <c r="E17" s="24" t="s">
        <v>62</v>
      </c>
      <c r="F17" s="16" t="s">
        <v>76</v>
      </c>
      <c r="G17" s="15" t="s">
        <v>27</v>
      </c>
      <c r="H17" s="15" t="s">
        <v>26</v>
      </c>
      <c r="I17" s="15" t="s">
        <v>23</v>
      </c>
      <c r="J17" s="15" t="s">
        <v>24</v>
      </c>
      <c r="K17" s="17" t="s">
        <v>50</v>
      </c>
      <c r="L17" s="35">
        <v>1.3888888888888889E-3</v>
      </c>
      <c r="M17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3.1249999999999993E-2</v>
      </c>
      <c r="N17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0.40624999999999989</v>
      </c>
      <c r="O17" s="15"/>
      <c r="P17" s="15"/>
      <c r="Q17" s="17"/>
      <c r="R17" s="21"/>
      <c r="S17" s="15"/>
    </row>
    <row r="18" spans="1:19" s="5" customFormat="1" x14ac:dyDescent="0.25">
      <c r="A18" s="22"/>
      <c r="B18" s="23"/>
      <c r="C18" s="13">
        <v>1</v>
      </c>
      <c r="D18" s="14">
        <f>IF(Tabelle1[[#This Row],[Sitzung]]=(INDEX(Tabelle1[Sitzung],ROW(Tabelle1[[#This Row],[Sitzung]])-1-ROW(Tabelle1[[#Headers],[Sitzung]]))),(INDEX(Tabelle1[Teil],ROW(Tabelle1[[#This Row],[Teil]])-1-ROW(Tabelle1[[#Headers],[Teil]])))+1,1)</f>
        <v>15</v>
      </c>
      <c r="E18" s="24" t="s">
        <v>62</v>
      </c>
      <c r="F18" s="16" t="s">
        <v>30</v>
      </c>
      <c r="G18" s="15" t="s">
        <v>27</v>
      </c>
      <c r="H18" s="15" t="s">
        <v>26</v>
      </c>
      <c r="I18" s="15" t="s">
        <v>23</v>
      </c>
      <c r="J18" s="15" t="s">
        <v>24</v>
      </c>
      <c r="K18" s="17" t="s">
        <v>50</v>
      </c>
      <c r="L18" s="35">
        <v>2.7777777777777779E-3</v>
      </c>
      <c r="M18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3.4027777777777768E-2</v>
      </c>
      <c r="N18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0.40902777777777766</v>
      </c>
      <c r="O18" s="15"/>
      <c r="P18" s="15"/>
      <c r="Q18" s="17"/>
      <c r="R18" s="21"/>
      <c r="S18" s="15"/>
    </row>
    <row r="19" spans="1:19" s="5" customFormat="1" ht="30" x14ac:dyDescent="0.25">
      <c r="A19" s="22"/>
      <c r="B19" s="23"/>
      <c r="C19" s="13">
        <v>1</v>
      </c>
      <c r="D19" s="14">
        <f>IF(Tabelle1[[#This Row],[Sitzung]]=(INDEX(Tabelle1[Sitzung],ROW(Tabelle1[[#This Row],[Sitzung]])-1-ROW(Tabelle1[[#Headers],[Sitzung]]))),(INDEX(Tabelle1[Teil],ROW(Tabelle1[[#This Row],[Teil]])-1-ROW(Tabelle1[[#Headers],[Teil]])))+1,1)</f>
        <v>16</v>
      </c>
      <c r="E19" s="24" t="s">
        <v>70</v>
      </c>
      <c r="F19" s="16" t="s">
        <v>68</v>
      </c>
      <c r="G19" s="24" t="s">
        <v>27</v>
      </c>
      <c r="H19" s="24" t="s">
        <v>26</v>
      </c>
      <c r="I19" s="24" t="s">
        <v>23</v>
      </c>
      <c r="J19" s="24" t="s">
        <v>24</v>
      </c>
      <c r="K19" s="17" t="s">
        <v>50</v>
      </c>
      <c r="L19" s="35">
        <v>1.3888888888888889E-3</v>
      </c>
      <c r="M19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3.5416666666666659E-2</v>
      </c>
      <c r="N19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0.41041666666666654</v>
      </c>
      <c r="O19" s="24"/>
      <c r="P19" s="24"/>
      <c r="Q19" s="17"/>
      <c r="R19" s="21"/>
      <c r="S19" s="24"/>
    </row>
    <row r="20" spans="1:19" s="5" customFormat="1" x14ac:dyDescent="0.25">
      <c r="A20" s="22"/>
      <c r="B20" s="23"/>
      <c r="C20" s="13">
        <v>1</v>
      </c>
      <c r="D20" s="14">
        <f>IF(Tabelle1[[#This Row],[Sitzung]]=(INDEX(Tabelle1[Sitzung],ROW(Tabelle1[[#This Row],[Sitzung]])-1-ROW(Tabelle1[[#Headers],[Sitzung]]))),(INDEX(Tabelle1[Teil],ROW(Tabelle1[[#This Row],[Teil]])-1-ROW(Tabelle1[[#Headers],[Teil]])))+1,1)</f>
        <v>17</v>
      </c>
      <c r="E20" s="24" t="s">
        <v>70</v>
      </c>
      <c r="F20" s="16" t="s">
        <v>69</v>
      </c>
      <c r="G20" s="24" t="s">
        <v>27</v>
      </c>
      <c r="H20" s="24" t="s">
        <v>26</v>
      </c>
      <c r="I20" s="24" t="s">
        <v>23</v>
      </c>
      <c r="J20" s="24" t="s">
        <v>24</v>
      </c>
      <c r="K20" s="17" t="s">
        <v>50</v>
      </c>
      <c r="L20" s="35">
        <v>3.472222222222222E-3</v>
      </c>
      <c r="M20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3.8888888888888883E-2</v>
      </c>
      <c r="N20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0.41388888888888875</v>
      </c>
      <c r="O20" s="24"/>
      <c r="P20" s="24"/>
      <c r="Q20" s="17"/>
      <c r="R20" s="21"/>
      <c r="S20" s="24"/>
    </row>
    <row r="21" spans="1:19" s="5" customFormat="1" x14ac:dyDescent="0.25">
      <c r="A21" s="22"/>
      <c r="B21" s="23"/>
      <c r="C21" s="13">
        <v>1</v>
      </c>
      <c r="D21" s="14">
        <f>IF(Tabelle1[[#This Row],[Sitzung]]=(INDEX(Tabelle1[Sitzung],ROW(Tabelle1[[#This Row],[Sitzung]])-1-ROW(Tabelle1[[#Headers],[Sitzung]]))),(INDEX(Tabelle1[Teil],ROW(Tabelle1[[#This Row],[Teil]])-1-ROW(Tabelle1[[#Headers],[Teil]])))+1,1)</f>
        <v>18</v>
      </c>
      <c r="E21" s="24" t="s">
        <v>70</v>
      </c>
      <c r="F21" s="16" t="s">
        <v>34</v>
      </c>
      <c r="G21" s="24" t="s">
        <v>27</v>
      </c>
      <c r="H21" s="24" t="s">
        <v>26</v>
      </c>
      <c r="I21" s="24" t="s">
        <v>35</v>
      </c>
      <c r="J21" s="24" t="s">
        <v>24</v>
      </c>
      <c r="K21" s="17" t="s">
        <v>50</v>
      </c>
      <c r="L21" s="18">
        <v>3.472222222222222E-3</v>
      </c>
      <c r="M21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4.2361111111111106E-2</v>
      </c>
      <c r="N21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0.41736111111111096</v>
      </c>
      <c r="O21" s="24"/>
      <c r="P21" s="24"/>
      <c r="Q21" s="17"/>
      <c r="R21" s="21"/>
      <c r="S21" s="24"/>
    </row>
    <row r="22" spans="1:19" s="5" customFormat="1" x14ac:dyDescent="0.25">
      <c r="A22" s="22"/>
      <c r="B22" s="23"/>
      <c r="C22" s="13">
        <v>1</v>
      </c>
      <c r="D22" s="14">
        <f>IF(Tabelle1[[#This Row],[Sitzung]]=(INDEX(Tabelle1[Sitzung],ROW(Tabelle1[[#This Row],[Sitzung]])-1-ROW(Tabelle1[[#Headers],[Sitzung]]))),(INDEX(Tabelle1[Teil],ROW(Tabelle1[[#This Row],[Teil]])-1-ROW(Tabelle1[[#Headers],[Teil]])))+1,1)</f>
        <v>19</v>
      </c>
      <c r="E22" s="24" t="s">
        <v>71</v>
      </c>
      <c r="F22" s="16" t="s">
        <v>36</v>
      </c>
      <c r="G22" s="24" t="s">
        <v>27</v>
      </c>
      <c r="H22" s="24" t="s">
        <v>22</v>
      </c>
      <c r="I22" s="24" t="s">
        <v>35</v>
      </c>
      <c r="J22" s="24" t="s">
        <v>24</v>
      </c>
      <c r="K22" s="17" t="s">
        <v>50</v>
      </c>
      <c r="L22" s="18">
        <v>4.1666666666666666E-3</v>
      </c>
      <c r="M22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4.6527777777777772E-2</v>
      </c>
      <c r="N22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0.42152777777777761</v>
      </c>
      <c r="O22" s="24"/>
      <c r="P22" s="24"/>
      <c r="Q22" s="17"/>
      <c r="R22" s="21"/>
      <c r="S22" s="24"/>
    </row>
    <row r="23" spans="1:19" s="5" customFormat="1" x14ac:dyDescent="0.25">
      <c r="A23" s="22"/>
      <c r="B23" s="23"/>
      <c r="C23" s="13">
        <v>1</v>
      </c>
      <c r="D23" s="14">
        <f>IF(Tabelle1[[#This Row],[Sitzung]]=(INDEX(Tabelle1[Sitzung],ROW(Tabelle1[[#This Row],[Sitzung]])-1-ROW(Tabelle1[[#Headers],[Sitzung]]))),(INDEX(Tabelle1[Teil],ROW(Tabelle1[[#This Row],[Teil]])-1-ROW(Tabelle1[[#Headers],[Teil]])))+1,1)</f>
        <v>20</v>
      </c>
      <c r="E23" s="24" t="s">
        <v>71</v>
      </c>
      <c r="F23" s="16" t="s">
        <v>37</v>
      </c>
      <c r="G23" s="24" t="s">
        <v>27</v>
      </c>
      <c r="H23" s="24" t="s">
        <v>22</v>
      </c>
      <c r="I23" s="24" t="s">
        <v>35</v>
      </c>
      <c r="J23" s="24" t="s">
        <v>24</v>
      </c>
      <c r="K23" s="17" t="s">
        <v>50</v>
      </c>
      <c r="L23" s="18">
        <v>1.3888888888888889E-3</v>
      </c>
      <c r="M23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4.7916666666666663E-2</v>
      </c>
      <c r="N23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0.4229166666666665</v>
      </c>
      <c r="O23" s="24"/>
      <c r="P23" s="24"/>
      <c r="Q23" s="17"/>
      <c r="R23" s="21"/>
      <c r="S23" s="24"/>
    </row>
    <row r="24" spans="1:19" ht="30" x14ac:dyDescent="0.25">
      <c r="A24" s="22"/>
      <c r="B24" s="23"/>
      <c r="C24" s="13">
        <v>1</v>
      </c>
      <c r="D24" s="14">
        <f>IF(Tabelle1[[#This Row],[Sitzung]]=(INDEX(Tabelle1[Sitzung],ROW(Tabelle1[[#This Row],[Sitzung]])-1-ROW(Tabelle1[[#Headers],[Sitzung]]))),(INDEX(Tabelle1[Teil],ROW(Tabelle1[[#This Row],[Teil]])-1-ROW(Tabelle1[[#Headers],[Teil]])))+1,1)</f>
        <v>21</v>
      </c>
      <c r="E24" s="15" t="s">
        <v>89</v>
      </c>
      <c r="F24" s="16" t="s">
        <v>51</v>
      </c>
      <c r="G24" s="15" t="s">
        <v>27</v>
      </c>
      <c r="H24" s="15" t="s">
        <v>22</v>
      </c>
      <c r="I24" s="15" t="s">
        <v>23</v>
      </c>
      <c r="J24" s="15" t="s">
        <v>24</v>
      </c>
      <c r="K24" s="17" t="s">
        <v>50</v>
      </c>
      <c r="L24" s="18">
        <v>1.3888888888888889E-3</v>
      </c>
      <c r="M24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4.9305555555555554E-2</v>
      </c>
      <c r="N24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0.42430555555555538</v>
      </c>
      <c r="O24" s="15"/>
      <c r="P24" s="15"/>
      <c r="Q24" s="17"/>
      <c r="R24" s="21"/>
      <c r="S24" s="15"/>
    </row>
    <row r="25" spans="1:19" x14ac:dyDescent="0.25">
      <c r="A25" s="22"/>
      <c r="B25" s="23"/>
      <c r="C25" s="13">
        <v>1</v>
      </c>
      <c r="D25" s="14">
        <f>IF(Tabelle1[[#This Row],[Sitzung]]=(INDEX(Tabelle1[Sitzung],ROW(Tabelle1[[#This Row],[Sitzung]])-1-ROW(Tabelle1[[#Headers],[Sitzung]]))),(INDEX(Tabelle1[Teil],ROW(Tabelle1[[#This Row],[Teil]])-1-ROW(Tabelle1[[#Headers],[Teil]])))+1,1)</f>
        <v>22</v>
      </c>
      <c r="E25" s="15" t="s">
        <v>31</v>
      </c>
      <c r="F25" s="16" t="s">
        <v>31</v>
      </c>
      <c r="G25" s="15" t="s">
        <v>53</v>
      </c>
      <c r="H25" s="15" t="s">
        <v>52</v>
      </c>
      <c r="I25" s="15" t="s">
        <v>32</v>
      </c>
      <c r="J25" s="15" t="s">
        <v>24</v>
      </c>
      <c r="K25" s="15"/>
      <c r="L25" s="18">
        <v>3.472222222222222E-3</v>
      </c>
      <c r="M25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5.2777777777777778E-2</v>
      </c>
      <c r="N25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0.42777777777777759</v>
      </c>
      <c r="O25" s="15"/>
      <c r="P25" s="15"/>
      <c r="Q25" s="17"/>
      <c r="R25" s="21"/>
      <c r="S25" s="15"/>
    </row>
    <row r="26" spans="1:19" x14ac:dyDescent="0.25">
      <c r="A26" s="22"/>
      <c r="B26" s="23"/>
      <c r="C26" s="13">
        <v>1</v>
      </c>
      <c r="D26" s="14">
        <f>IF(Tabelle1[[#This Row],[Sitzung]]=(INDEX(Tabelle1[Sitzung],ROW(Tabelle1[[#This Row],[Sitzung]])-1-ROW(Tabelle1[[#Headers],[Sitzung]]))),(INDEX(Tabelle1[Teil],ROW(Tabelle1[[#This Row],[Teil]])-1-ROW(Tabelle1[[#Headers],[Teil]])))+1,1)</f>
        <v>23</v>
      </c>
      <c r="E26" s="25" t="s">
        <v>33</v>
      </c>
      <c r="F26" s="26" t="s">
        <v>33</v>
      </c>
      <c r="G26" s="25" t="s">
        <v>33</v>
      </c>
      <c r="H26" s="25"/>
      <c r="I26" s="25"/>
      <c r="J26" s="25"/>
      <c r="K26" s="25"/>
      <c r="L26" s="27">
        <v>2.0833333333333332E-2</v>
      </c>
      <c r="M26" s="28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7.3611111111111113E-2</v>
      </c>
      <c r="N26" s="29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0.44861111111111091</v>
      </c>
      <c r="O26" s="15"/>
      <c r="P26" s="15"/>
      <c r="Q26" s="17"/>
      <c r="R26" s="21"/>
      <c r="S26" s="15"/>
    </row>
    <row r="27" spans="1:19" ht="90" x14ac:dyDescent="0.25">
      <c r="A27" s="22"/>
      <c r="B27" s="23"/>
      <c r="C27" s="13">
        <v>1</v>
      </c>
      <c r="D27" s="14">
        <f>IF(Tabelle1[[#This Row],[Sitzung]]=(INDEX(Tabelle1[Sitzung],ROW(Tabelle1[[#This Row],[Sitzung]])-1-ROW(Tabelle1[[#Headers],[Sitzung]]))),(INDEX(Tabelle1[Teil],ROW(Tabelle1[[#This Row],[Teil]])-1-ROW(Tabelle1[[#Headers],[Teil]])))+1,1)</f>
        <v>24</v>
      </c>
      <c r="E27" s="15" t="s">
        <v>81</v>
      </c>
      <c r="F27" s="16" t="s">
        <v>77</v>
      </c>
      <c r="G27" s="15" t="s">
        <v>38</v>
      </c>
      <c r="H27" s="15" t="s">
        <v>45</v>
      </c>
      <c r="I27" s="15" t="s">
        <v>23</v>
      </c>
      <c r="J27" s="15" t="s">
        <v>24</v>
      </c>
      <c r="K27" s="15"/>
      <c r="L27" s="18">
        <v>2.0833333333333333E-3</v>
      </c>
      <c r="M27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7.5694444444444453E-2</v>
      </c>
      <c r="N27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0.45069444444444423</v>
      </c>
      <c r="O27" s="15"/>
      <c r="P27" s="15"/>
      <c r="Q27" s="17"/>
      <c r="R27" s="21"/>
      <c r="S27" s="15"/>
    </row>
    <row r="28" spans="1:19" ht="45" x14ac:dyDescent="0.25">
      <c r="A28" s="22"/>
      <c r="B28" s="23"/>
      <c r="C28" s="13">
        <v>1</v>
      </c>
      <c r="D28" s="14">
        <f>IF(Tabelle1[[#This Row],[Sitzung]]=(INDEX(Tabelle1[Sitzung],ROW(Tabelle1[[#This Row],[Sitzung]])-1-ROW(Tabelle1[[#Headers],[Sitzung]]))),(INDEX(Tabelle1[Teil],ROW(Tabelle1[[#This Row],[Teil]])-1-ROW(Tabelle1[[#Headers],[Teil]])))+1,1)</f>
        <v>25</v>
      </c>
      <c r="E28" s="15" t="s">
        <v>81</v>
      </c>
      <c r="F28" s="16" t="s">
        <v>78</v>
      </c>
      <c r="G28" s="15" t="s">
        <v>39</v>
      </c>
      <c r="H28" s="15" t="s">
        <v>45</v>
      </c>
      <c r="I28" s="15" t="s">
        <v>32</v>
      </c>
      <c r="J28" s="15" t="s">
        <v>40</v>
      </c>
      <c r="K28" s="15"/>
      <c r="L28" s="18">
        <v>6.9444444444444441E-3</v>
      </c>
      <c r="M28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8.2638888888888901E-2</v>
      </c>
      <c r="N28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0.45763888888888865</v>
      </c>
      <c r="O28" s="15"/>
      <c r="P28" s="15"/>
      <c r="Q28" s="17"/>
      <c r="R28" s="21"/>
      <c r="S28" s="15"/>
    </row>
    <row r="29" spans="1:19" ht="45" x14ac:dyDescent="0.25">
      <c r="A29" s="22"/>
      <c r="B29" s="23"/>
      <c r="C29" s="13">
        <v>1</v>
      </c>
      <c r="D29" s="14">
        <f>IF(Tabelle1[[#This Row],[Sitzung]]=(INDEX(Tabelle1[Sitzung],ROW(Tabelle1[[#This Row],[Sitzung]])-1-ROW(Tabelle1[[#Headers],[Sitzung]]))),(INDEX(Tabelle1[Teil],ROW(Tabelle1[[#This Row],[Teil]])-1-ROW(Tabelle1[[#Headers],[Teil]])))+1,1)</f>
        <v>26</v>
      </c>
      <c r="E29" s="15" t="s">
        <v>81</v>
      </c>
      <c r="F29" s="16" t="s">
        <v>79</v>
      </c>
      <c r="G29" s="15" t="s">
        <v>80</v>
      </c>
      <c r="H29" s="15" t="s">
        <v>45</v>
      </c>
      <c r="I29" s="15" t="s">
        <v>32</v>
      </c>
      <c r="J29" s="15" t="s">
        <v>24</v>
      </c>
      <c r="K29" s="15"/>
      <c r="L29" s="18">
        <v>6.9444444444444441E-3</v>
      </c>
      <c r="M29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8.9583333333333348E-2</v>
      </c>
      <c r="N29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0.46458333333333307</v>
      </c>
      <c r="O29" s="15"/>
      <c r="P29" s="15"/>
      <c r="Q29" s="17"/>
      <c r="R29" s="21"/>
      <c r="S29" s="15"/>
    </row>
    <row r="30" spans="1:19" ht="75" x14ac:dyDescent="0.25">
      <c r="A30" s="22"/>
      <c r="B30" s="23"/>
      <c r="C30" s="13">
        <v>1</v>
      </c>
      <c r="D30" s="14">
        <f>IF(Tabelle1[[#This Row],[Sitzung]]=(INDEX(Tabelle1[Sitzung],ROW(Tabelle1[[#This Row],[Sitzung]])-1-ROW(Tabelle1[[#Headers],[Sitzung]]))),(INDEX(Tabelle1[Teil],ROW(Tabelle1[[#This Row],[Teil]])-1-ROW(Tabelle1[[#Headers],[Teil]])))+1,1)</f>
        <v>27</v>
      </c>
      <c r="E30" s="15" t="s">
        <v>82</v>
      </c>
      <c r="F30" s="16" t="s">
        <v>58</v>
      </c>
      <c r="G30" s="15" t="s">
        <v>83</v>
      </c>
      <c r="H30" s="15" t="s">
        <v>45</v>
      </c>
      <c r="I30" s="15" t="s">
        <v>32</v>
      </c>
      <c r="J30" s="15" t="s">
        <v>24</v>
      </c>
      <c r="K30" s="15"/>
      <c r="L30" s="18">
        <v>2.0833333333333333E-3</v>
      </c>
      <c r="M30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9.1666666666666688E-2</v>
      </c>
      <c r="N30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0.4666666666666664</v>
      </c>
      <c r="O30" s="15"/>
      <c r="P30" s="15"/>
      <c r="Q30" s="17"/>
      <c r="R30" s="21"/>
      <c r="S30" s="15"/>
    </row>
    <row r="31" spans="1:19" s="5" customFormat="1" ht="45" x14ac:dyDescent="0.25">
      <c r="A31" s="22"/>
      <c r="B31" s="23"/>
      <c r="C31" s="13">
        <v>1</v>
      </c>
      <c r="D31" s="14">
        <f>IF(Tabelle1[[#This Row],[Sitzung]]=(INDEX(Tabelle1[Sitzung],ROW(Tabelle1[[#This Row],[Sitzung]])-1-ROW(Tabelle1[[#Headers],[Sitzung]]))),(INDEX(Tabelle1[Teil],ROW(Tabelle1[[#This Row],[Teil]])-1-ROW(Tabelle1[[#Headers],[Teil]])))+1,1)</f>
        <v>28</v>
      </c>
      <c r="E31" s="24" t="s">
        <v>82</v>
      </c>
      <c r="F31" s="16" t="s">
        <v>56</v>
      </c>
      <c r="G31" s="24" t="s">
        <v>54</v>
      </c>
      <c r="H31" s="24" t="s">
        <v>22</v>
      </c>
      <c r="I31" s="24" t="s">
        <v>35</v>
      </c>
      <c r="J31" s="24" t="s">
        <v>24</v>
      </c>
      <c r="K31" s="34" t="s">
        <v>55</v>
      </c>
      <c r="L31" s="18">
        <v>1.7361111111111112E-2</v>
      </c>
      <c r="M31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0.10902777777777781</v>
      </c>
      <c r="N31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0.4840277777777775</v>
      </c>
      <c r="O31" s="24"/>
      <c r="P31" s="24"/>
      <c r="Q31" s="17"/>
      <c r="R31" s="21"/>
      <c r="S31" s="24"/>
    </row>
    <row r="32" spans="1:19" x14ac:dyDescent="0.25">
      <c r="A32" s="22"/>
      <c r="B32" s="23"/>
      <c r="C32" s="13">
        <v>1</v>
      </c>
      <c r="D32" s="14">
        <f>IF(Tabelle1[[#This Row],[Sitzung]]=(INDEX(Tabelle1[Sitzung],ROW(Tabelle1[[#This Row],[Sitzung]])-1-ROW(Tabelle1[[#Headers],[Sitzung]]))),(INDEX(Tabelle1[Teil],ROW(Tabelle1[[#This Row],[Teil]])-1-ROW(Tabelle1[[#Headers],[Teil]])))+1,1)</f>
        <v>29</v>
      </c>
      <c r="E32" s="15" t="s">
        <v>57</v>
      </c>
      <c r="F32" s="16" t="s">
        <v>41</v>
      </c>
      <c r="G32" s="15" t="s">
        <v>27</v>
      </c>
      <c r="H32" s="15"/>
      <c r="I32" s="15" t="s">
        <v>23</v>
      </c>
      <c r="J32" s="15" t="s">
        <v>24</v>
      </c>
      <c r="K32" s="15" t="s">
        <v>50</v>
      </c>
      <c r="L32" s="18">
        <v>1.3888888888888889E-3</v>
      </c>
      <c r="M32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0.11041666666666669</v>
      </c>
      <c r="N32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0.48541666666666639</v>
      </c>
      <c r="O32" s="15"/>
      <c r="P32" s="15"/>
      <c r="Q32" s="17"/>
      <c r="R32" s="21"/>
      <c r="S32" s="15"/>
    </row>
    <row r="33" spans="1:19" x14ac:dyDescent="0.25">
      <c r="A33" s="22"/>
      <c r="B33" s="23"/>
      <c r="C33" s="13">
        <v>1</v>
      </c>
      <c r="D33" s="14">
        <f>IF(Tabelle1[[#This Row],[Sitzung]]=(INDEX(Tabelle1[Sitzung],ROW(Tabelle1[[#This Row],[Sitzung]])-1-ROW(Tabelle1[[#Headers],[Sitzung]]))),(INDEX(Tabelle1[Teil],ROW(Tabelle1[[#This Row],[Teil]])-1-ROW(Tabelle1[[#Headers],[Teil]])))+1,1)</f>
        <v>30</v>
      </c>
      <c r="E33" s="15" t="s">
        <v>57</v>
      </c>
      <c r="F33" s="16" t="s">
        <v>42</v>
      </c>
      <c r="G33" s="15" t="s">
        <v>27</v>
      </c>
      <c r="H33" s="15"/>
      <c r="I33" s="15" t="s">
        <v>23</v>
      </c>
      <c r="J33" s="15" t="s">
        <v>24</v>
      </c>
      <c r="K33" s="24" t="s">
        <v>50</v>
      </c>
      <c r="L33" s="18">
        <v>2.0833333333333333E-3</v>
      </c>
      <c r="M33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0.11250000000000003</v>
      </c>
      <c r="N33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0.48749999999999971</v>
      </c>
      <c r="O33" s="15"/>
      <c r="P33" s="15"/>
      <c r="Q33" s="17"/>
      <c r="R33" s="21"/>
      <c r="S33" s="15"/>
    </row>
    <row r="34" spans="1:19" x14ac:dyDescent="0.25">
      <c r="A34" s="22"/>
      <c r="B34" s="23"/>
      <c r="C34" s="13">
        <v>1</v>
      </c>
      <c r="D34" s="14">
        <f>IF(Tabelle1[[#This Row],[Sitzung]]=(INDEX(Tabelle1[Sitzung],ROW(Tabelle1[[#This Row],[Sitzung]])-1-ROW(Tabelle1[[#Headers],[Sitzung]]))),(INDEX(Tabelle1[Teil],ROW(Tabelle1[[#This Row],[Teil]])-1-ROW(Tabelle1[[#Headers],[Teil]])))+1,1)</f>
        <v>31</v>
      </c>
      <c r="E34" s="15" t="s">
        <v>43</v>
      </c>
      <c r="F34" s="16" t="s">
        <v>44</v>
      </c>
      <c r="G34" s="15" t="s">
        <v>27</v>
      </c>
      <c r="H34" s="15"/>
      <c r="I34" s="15" t="s">
        <v>23</v>
      </c>
      <c r="J34" s="15" t="s">
        <v>24</v>
      </c>
      <c r="K34" s="24" t="s">
        <v>50</v>
      </c>
      <c r="L34" s="18">
        <v>2.7777777777777779E-3</v>
      </c>
      <c r="M34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0.11527777777777781</v>
      </c>
      <c r="N34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0.49027777777777748</v>
      </c>
      <c r="O34" s="15"/>
      <c r="P34" s="15"/>
      <c r="Q34" s="17"/>
      <c r="R34" s="21"/>
      <c r="S34" s="15"/>
    </row>
    <row r="35" spans="1:19" s="5" customFormat="1" x14ac:dyDescent="0.25">
      <c r="A35" s="22"/>
      <c r="B35" s="23"/>
      <c r="C35" s="13">
        <v>1</v>
      </c>
      <c r="D35" s="14">
        <f>IF(Tabelle1[[#This Row],[Sitzung]]=(INDEX(Tabelle1[Sitzung],ROW(Tabelle1[[#This Row],[Sitzung]])-1-ROW(Tabelle1[[#Headers],[Sitzung]]))),(INDEX(Tabelle1[Teil],ROW(Tabelle1[[#This Row],[Teil]])-1-ROW(Tabelle1[[#Headers],[Teil]])))+1,1)</f>
        <v>32</v>
      </c>
      <c r="E35" s="24" t="s">
        <v>84</v>
      </c>
      <c r="F35" s="16" t="s">
        <v>84</v>
      </c>
      <c r="G35" s="24" t="s">
        <v>87</v>
      </c>
      <c r="H35" s="24" t="s">
        <v>45</v>
      </c>
      <c r="I35" s="24" t="s">
        <v>32</v>
      </c>
      <c r="J35" s="24" t="s">
        <v>24</v>
      </c>
      <c r="K35" s="24" t="s">
        <v>85</v>
      </c>
      <c r="L35" s="18">
        <v>3.472222222222222E-3</v>
      </c>
      <c r="M35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0.11875000000000004</v>
      </c>
      <c r="N35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0.49374999999999969</v>
      </c>
      <c r="O35" s="24"/>
      <c r="P35" s="24"/>
      <c r="Q35" s="17"/>
      <c r="R35" s="21"/>
      <c r="S35" s="24"/>
    </row>
    <row r="36" spans="1:19" ht="30" x14ac:dyDescent="0.25">
      <c r="A36" s="22"/>
      <c r="B36" s="23"/>
      <c r="C36" s="13">
        <v>1</v>
      </c>
      <c r="D36" s="14">
        <f>IF(Tabelle1[[#This Row],[Sitzung]]=(INDEX(Tabelle1[Sitzung],ROW(Tabelle1[[#This Row],[Sitzung]])-1-ROW(Tabelle1[[#Headers],[Sitzung]]))),(INDEX(Tabelle1[Teil],ROW(Tabelle1[[#This Row],[Teil]])-1-ROW(Tabelle1[[#Headers],[Teil]])))+1,1)</f>
        <v>33</v>
      </c>
      <c r="E36" s="15" t="s">
        <v>31</v>
      </c>
      <c r="F36" s="16" t="s">
        <v>86</v>
      </c>
      <c r="G36" s="15" t="s">
        <v>88</v>
      </c>
      <c r="H36" s="15" t="s">
        <v>45</v>
      </c>
      <c r="I36" s="15" t="s">
        <v>32</v>
      </c>
      <c r="J36" s="15" t="s">
        <v>24</v>
      </c>
      <c r="K36" s="15"/>
      <c r="L36" s="18">
        <v>3.472222222222222E-3</v>
      </c>
      <c r="M36" s="19">
        <f>IF(Tabelle1[[#This Row],[Sitzung]]=(INDEX(Tabelle1[Sitzung],ROW(Tabelle1[[#This Row],[Sitzung]])-1-ROW(Tabelle1[[#Headers],[Sitzung]]))),(INDEX(Tabelle1[Σ t],ROW(Tabelle1[[#This Row],[Σ t]])-1-ROW(Tabelle1[[#Headers],[Σ t]])))+Tabelle1[[#This Row],[t]],Tabelle1[[#This Row],[t]])</f>
        <v>0.12222222222222226</v>
      </c>
      <c r="N36" s="20">
        <f>IF(Tabelle1[[#This Row],[Sitzung]]=(INDEX(Tabelle1[Sitzung],ROW(Tabelle1[[#This Row],[Sitzung]])-1-ROW(Tabelle1[[#Headers],[Sitzung]]))),(INDEX(Tabelle1[Bis],ROW(Tabelle1[[#This Row],[Bis]])-1-ROW(Tabelle1[[#Headers],[Bis]])))+Tabelle1[[#This Row],[t]],Tabelle1[[#This Row],[Zeit]]+Tabelle1[[#This Row],[t]])</f>
        <v>0.4972222222222219</v>
      </c>
      <c r="O36" s="15"/>
      <c r="P36" s="15"/>
      <c r="Q36" s="17"/>
      <c r="R36" s="21"/>
      <c r="S36" s="15"/>
    </row>
    <row r="37" spans="1:19" x14ac:dyDescent="0.25">
      <c r="A37" s="22"/>
      <c r="B37" s="23"/>
      <c r="C37" s="30"/>
      <c r="D37" s="14"/>
      <c r="E37" s="31"/>
      <c r="F37" s="32"/>
      <c r="G37" s="31"/>
      <c r="H37" s="31"/>
      <c r="I37" s="15"/>
      <c r="J37" s="15"/>
      <c r="K37" s="15"/>
      <c r="L37" s="33"/>
      <c r="M37" s="19"/>
      <c r="N37" s="20"/>
      <c r="O37" s="15"/>
      <c r="P37" s="15"/>
      <c r="Q37" s="17"/>
      <c r="R37" s="21"/>
      <c r="S37" s="15"/>
    </row>
  </sheetData>
  <mergeCells count="5">
    <mergeCell ref="A1:G1"/>
    <mergeCell ref="H1:K1"/>
    <mergeCell ref="F2:K2"/>
    <mergeCell ref="L2:N2"/>
    <mergeCell ref="O2:R2"/>
  </mergeCells>
  <conditionalFormatting sqref="M3:M35">
    <cfRule type="cellIs" dxfId="1" priority="1" operator="greaterThan">
      <formula>$L$1</formula>
    </cfRule>
  </conditionalFormatting>
  <conditionalFormatting sqref="M36:M1048576">
    <cfRule type="cellIs" dxfId="0" priority="10" operator="greaterThan">
      <formula>$L$1</formula>
    </cfRule>
  </conditionalFormatting>
  <hyperlinks>
    <hyperlink ref="K31" r:id="rId1" xr:uid="{00000000-0004-0000-0000-000000000000}"/>
  </hyperlinks>
  <pageMargins left="0.25196850393700787" right="0.25196850393700787" top="0.75196850393700787" bottom="0.75196850393700787" header="0.3" footer="0.3"/>
  <pageSetup paperSize="9" scale="49" fitToHeight="0" orientation="landscape" useFirstPageNumber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Lehrdrehbuch</vt:lpstr>
      <vt:lpstr>Lehrdrehbuch!Druckbereich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schenk</dc:creator>
  <cp:lastModifiedBy>Linda Zollitsch</cp:lastModifiedBy>
  <cp:revision>4</cp:revision>
  <dcterms:created xsi:type="dcterms:W3CDTF">2015-06-05T18:19:34Z</dcterms:created>
  <dcterms:modified xsi:type="dcterms:W3CDTF">2026-03-18T07:59:01Z</dcterms:modified>
</cp:coreProperties>
</file>